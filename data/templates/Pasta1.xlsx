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gok\Downloads\"/>
    </mc:Choice>
  </mc:AlternateContent>
  <xr:revisionPtr revIDLastSave="0" documentId="8_{BA2354E9-B996-4F3E-9693-BC8BCA9DDE48}" xr6:coauthVersionLast="47" xr6:coauthVersionMax="47" xr10:uidLastSave="{00000000-0000-0000-0000-000000000000}"/>
  <bookViews>
    <workbookView xWindow="-120" yWindow="-120" windowWidth="29040" windowHeight="15720" xr2:uid="{B039BBFB-140F-4F15-83EE-4D81B9F8BB9E}"/>
  </bookViews>
  <sheets>
    <sheet name="FATURAMENTO SMED (2)" sheetId="1" r:id="rId1"/>
  </sheets>
  <definedNames>
    <definedName name="_xlnm._FilterDatabase" localSheetId="0" hidden="1">'FATURAMENTO SMED (2)'!$A$3:$K$169</definedName>
    <definedName name="_xlnm.Print_Area" localSheetId="0">'FATURAMENTO SMED (2)'!$A$3:$M$126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73" i="1" l="1"/>
  <c r="J173" i="1"/>
  <c r="G173" i="1"/>
  <c r="F173" i="1"/>
  <c r="E173" i="1"/>
  <c r="D173" i="1"/>
  <c r="C173" i="1"/>
  <c r="L171" i="1"/>
  <c r="L173" i="1" s="1"/>
  <c r="K171" i="1"/>
  <c r="K173" i="1" s="1"/>
  <c r="I171" i="1"/>
  <c r="I173" i="1" s="1"/>
  <c r="H171" i="1"/>
  <c r="H173" i="1" s="1"/>
  <c r="G171" i="1"/>
  <c r="F171" i="1"/>
  <c r="E171" i="1"/>
  <c r="D171" i="1"/>
  <c r="C171" i="1"/>
  <c r="M175" i="1" l="1"/>
  <c r="B1" i="1" s="1"/>
</calcChain>
</file>

<file path=xl/sharedStrings.xml><?xml version="1.0" encoding="utf-8"?>
<sst xmlns="http://schemas.openxmlformats.org/spreadsheetml/2006/main" count="359" uniqueCount="206">
  <si>
    <t>PREVISÃO DE FATURAMENTO</t>
  </si>
  <si>
    <t>DIAS LETIVOS</t>
  </si>
  <si>
    <t>NUTRICIONISTA</t>
  </si>
  <si>
    <t>ESCOLAS</t>
  </si>
  <si>
    <t>CARD 1</t>
  </si>
  <si>
    <t>CARD 2</t>
  </si>
  <si>
    <t>CARD 3</t>
  </si>
  <si>
    <t>CARD 4</t>
  </si>
  <si>
    <t>CARD 5</t>
  </si>
  <si>
    <t>CARD 6</t>
  </si>
  <si>
    <t>CARD 7</t>
  </si>
  <si>
    <t>CARD 8</t>
  </si>
  <si>
    <t>CARD 9</t>
  </si>
  <si>
    <t>DESJEJUM</t>
  </si>
  <si>
    <t>CARD 11</t>
  </si>
  <si>
    <t>CRECHE INTEGRAL</t>
  </si>
  <si>
    <t>PRÉ ESCOLA INTEGRAL</t>
  </si>
  <si>
    <t>CRECHE PARCIAL</t>
  </si>
  <si>
    <t>PRÉ ESCOLA PARCIAL</t>
  </si>
  <si>
    <t>FUND I</t>
  </si>
  <si>
    <t>FUND I INTEGRAL</t>
  </si>
  <si>
    <t>FUND II</t>
  </si>
  <si>
    <t>FUND II INTEGRAL</t>
  </si>
  <si>
    <t>EJA</t>
  </si>
  <si>
    <t>LANCHE</t>
  </si>
  <si>
    <t>ALMOÇO</t>
  </si>
  <si>
    <t>DIONE CIBELE</t>
  </si>
  <si>
    <t>0101 - ESCOLA MUNICIPAL PROFESSOR ALEXANDRE LEAL COSTA</t>
  </si>
  <si>
    <t>0103 - ESCOLA MUNICIPAL COSME DE FARIAS</t>
  </si>
  <si>
    <t>BEATRIZ BAIÃO</t>
  </si>
  <si>
    <t>0106 - CENTRO MUNICIPAL DE EDUCACAO INFANTIL ABRIGO DO SALVADOR</t>
  </si>
  <si>
    <t>REBECCA TRANQUILLI</t>
  </si>
  <si>
    <t>0109 - CENTRO MUNICIPAL DE EDUCACAO INFANTIL CSU MAJOR COSME DE FARIAS</t>
  </si>
  <si>
    <t>0110 - ESCOLA MUNICIPAL SANTA ANGELA DAS MERCES</t>
  </si>
  <si>
    <t>0111 - ESCOLA MUNICIPAL LUIZ ANSELMO</t>
  </si>
  <si>
    <t>0112 - CENTRO MUNICIPAL DE EDUCACAO INFANTIL PAROQUIAL DE SANTANA</t>
  </si>
  <si>
    <t>0113 - ESCOLA MUNICIPAL JOIR BRASILEIRO</t>
  </si>
  <si>
    <t>0120 - ESCOLA MUNICIPAL OLGA FIGUEIREDO DE AZEVEDO</t>
  </si>
  <si>
    <t>0121 - ESCOLA MUNICIPAL SEBASTIAO DIAS</t>
  </si>
  <si>
    <t>0124 - ESCOLA MUNICIPAL LELIS PIEDADE</t>
  </si>
  <si>
    <t xml:space="preserve">0125 - ESCOLA MUNICIPAL AILTON SOARES </t>
  </si>
  <si>
    <t>0126 - ESCOLA MUNICIPAL JOAO LINO</t>
  </si>
  <si>
    <t>0127 - ESCOLA MUNICIPAL AMELIA RODRIGUES</t>
  </si>
  <si>
    <t>0128 - ESCOLA MUNICIPAL TEREZINHA VAZ DA SILVEIRA</t>
  </si>
  <si>
    <t>0130 - ESCOLA MUNICIPAL CASA DA PROVIDENCIA</t>
  </si>
  <si>
    <t>0133 - ESCOLA SAO JOSE ANEXA AO COLEGIO SANTISSIMO SACRAMENTO</t>
  </si>
  <si>
    <t>0134 - ESCOLA MUNICIPAL DESPORTIVA SANTA RITA</t>
  </si>
  <si>
    <t>0135 - ESCOLA MUNICIPAL PERMINIO LEITE</t>
  </si>
  <si>
    <t>0136 - ESCOLA MUNICIPAL PAROQUIAL DA VITORIA</t>
  </si>
  <si>
    <t>0138 - ESCOLA MUNICIPAL MARTAGAO GESTEIRA</t>
  </si>
  <si>
    <t>0139 - ESCOLA MUNICIPAL MARIA QUITERIA</t>
  </si>
  <si>
    <t>0140 - ESCOLA MUNICIPAL VIVALDO DA COSTA LIMA</t>
  </si>
  <si>
    <t>0141 - ESCOLA MUNICIPAL NOSSA SENHORA DOS ANJOS</t>
  </si>
  <si>
    <t>0143 - ESCOLA MUNICIPAL SOROR JOANA ANGELICA</t>
  </si>
  <si>
    <t>0144 - ESCOLA MUNICIPAL RUY DE LIMA MALTEZ</t>
  </si>
  <si>
    <t>0146 - ESCOLA MUNICIPAL PROFESSOR ARISTIDES NOVIS</t>
  </si>
  <si>
    <t>0147 - ESCOLA MUNICIPAL JOAO PEDRO DOS SANTOS</t>
  </si>
  <si>
    <t>0149 - ESCOLA MUNICIPAL COMUNITARIA DA HISTARTE</t>
  </si>
  <si>
    <t>0150 - CENTRO MUNICIPAL DE EDUCACAO INFANTIL VIRGEM DE LA ALMUDENA</t>
  </si>
  <si>
    <t>0152 - CENTRO MUNICIPAL DE EDUCACAO INFANTIL LUIS EDUARDO MAGALHAES</t>
  </si>
  <si>
    <t>0154 - CENTRO MUNICIPAL DE EDUCACAO INFANTIL IACY VAZ FAGUNDES</t>
  </si>
  <si>
    <t>0155 - CENTRO MUNICIPAL DE EDUCACAO INFANTIL IEDA BARRADAS CARNEIRO</t>
  </si>
  <si>
    <t>0158 - CENTRO MUNICIPAL DE EDUCACAO INFANTIL NOSSA SENHORA DA VITORIA</t>
  </si>
  <si>
    <t>0159 - ESCOLA MUNICIPAL SANTA RITA</t>
  </si>
  <si>
    <t>0161 - ESCOLA MUNICIPAL HILDETE LOMANTO</t>
  </si>
  <si>
    <t>0162 - ESCOLA MUNICIPAL VISCONDE DE CAIRU</t>
  </si>
  <si>
    <t>EVELYN LOUISE</t>
  </si>
  <si>
    <t>0204 - ESCOLA MUNICIPAL CONSTANCA MEDEIROS</t>
  </si>
  <si>
    <t>0205 - ESCOLA MUNICIPAL SIMOES FILHO</t>
  </si>
  <si>
    <t>0207 - ESCOLA MUNICIPAL HENRIQUETA MACHADO</t>
  </si>
  <si>
    <t>RAFAELA ANJOS</t>
  </si>
  <si>
    <t>0212 - ESCOLA MUNICIPAL HILBERTO SILVA</t>
  </si>
  <si>
    <t>0213 - ESCOLA MUNICIPAL PRESIDENTE CASTELO BRANCO</t>
  </si>
  <si>
    <t>0215 - ESCOLA MUNICIPAL SOCIEDADE 6 DE JANEIRO</t>
  </si>
  <si>
    <t>0217 - ESCOLA MUNICIPAL TIRADENTES</t>
  </si>
  <si>
    <t>0221 - CENTRO MUNICIPAL DE EDUCACAO INFANTIL BARONESA DE SAUIPE</t>
  </si>
  <si>
    <t>0226 - ESCOLA MUNICIPAL PROFESSOR FREIRE FILHO</t>
  </si>
  <si>
    <t>0228 - ESCOLA MUNICIPAL ALMERINDA COSTA</t>
  </si>
  <si>
    <t>0230 - ESCOLA MUNICIPAL MELVIN JONES</t>
  </si>
  <si>
    <t>0232 - ESCOLA MUNICIPAL GERALDO TAVARES</t>
  </si>
  <si>
    <t>0233 - ESCOLA MUNICIPAL UNIAO COMUNITARIA</t>
  </si>
  <si>
    <t>0234 - ESCOLA MUNICIPAL PRIMEIRO DE MAIO</t>
  </si>
  <si>
    <t>0237 - ESCOLA MUNICIPAL SANTA BARBARA</t>
  </si>
  <si>
    <t>0238 - ESCOLA MUNICIPAL CENTRO SOCIAL MANGUEIRA</t>
  </si>
  <si>
    <t>0239 - ESCOLA MUNICIPAL CARMELITANA DO MENINO JESUS</t>
  </si>
  <si>
    <t>0240 - CENTRO MUNICIPAL DE EDUCACAO INFANTIL DR AUGUSTO LOPES PONTES</t>
  </si>
  <si>
    <t>0241 - ESCOLA MUNICIPAL ELOYNA BARRADAS</t>
  </si>
  <si>
    <t>0242 - CENTRO MUNICIPAL DE EDUCACAO INFANTIL ARLETE MAGALHAES</t>
  </si>
  <si>
    <t>0244 - CENTRO MUNICIPAL DE EDUCACAO INFANTIL MARIA DA CONCEICAO COSTA</t>
  </si>
  <si>
    <t>0245 - CENTRO MUNICIPAL DE EDUCACAO INFANTIL NOSSA SENHORA DAS GRACAS</t>
  </si>
  <si>
    <t>0246 - ESCOLA MUNICIPAL PROFESSORA MARIA JOSE DE PAULA MOREIRA</t>
  </si>
  <si>
    <t>0247 - ESCOLA MUNICIPAL ALFREDO AMORIM</t>
  </si>
  <si>
    <t>FLÁVIA FRANCO</t>
  </si>
  <si>
    <t>0301 - ESCOLA MUNICIPAL ANTONIO CARLOS MAGALHAES</t>
  </si>
  <si>
    <t>CARLA AMPARO</t>
  </si>
  <si>
    <t>0303 - ESCOLA MUNICIPAL ASSISTENCIA SOCIAL SAO JOSE</t>
  </si>
  <si>
    <t>0305 - ESCOLA MUNICIPAL BATISTA DE SAO CAETANO</t>
  </si>
  <si>
    <t>ISADORA CARDIM</t>
  </si>
  <si>
    <t>0306 - CENTRO MUNICIPAL DE EDUCACAO INFANTIL CASA DA CRIANCA DO BOM JUA</t>
  </si>
  <si>
    <t>0307 - ESCOLA MUNICIPAL AMAI PRO</t>
  </si>
  <si>
    <t>0310 - ESCOLA MUNICIPAL CONSUL SCHINDLER</t>
  </si>
  <si>
    <t>VANESSA GALVÃO</t>
  </si>
  <si>
    <t>0312 - ESCOLA MUNICIPAL FONTE DO CAPIM</t>
  </si>
  <si>
    <t>0313 - ESCOLA MUNICIPAL HELENA MAGALHAES</t>
  </si>
  <si>
    <t>0314 - ESCOLA MUNICIPAL MARECHAL RONDON</t>
  </si>
  <si>
    <t>0315 - ESCOLA MUNICIPAL XAVIER MARQUES</t>
  </si>
  <si>
    <t>0316 - ESCOLA MUNICIPAL FAZENDA GRANDE</t>
  </si>
  <si>
    <t>0317 - ESCOLA MUNICIPAL PROFESSOR ANTONIO CARVALHO GUEDES</t>
  </si>
  <si>
    <t>0328 - ESCOLA MUNICIPAL BATISTA DE SAN MARTIM</t>
  </si>
  <si>
    <t>TÁSSIA VIRGINIA</t>
  </si>
  <si>
    <t>0329 - ESCOLA MUNICIPAL BELA VISTA DO LOBATO</t>
  </si>
  <si>
    <t>0330 - ESCOLA MUNICIPAL CAMPINAS DE PIRAJA</t>
  </si>
  <si>
    <t>0332 - ESCOLA MUNICIPAL COMUNITARIA REGINA STUKENBORG</t>
  </si>
  <si>
    <t>0333 - ESCOLA MUNICIPAL CONEGO EMILIO LOBO</t>
  </si>
  <si>
    <t>0336 - ESCOLA MUNICIPAL ENG CARLOS BATALHA</t>
  </si>
  <si>
    <t>0337 - ESCOLA MUNICIPAL ENGENHEIRO GILBERTO PIRES MARINHO</t>
  </si>
  <si>
    <t>0338 - ESCOLA MUNICIPAL EDUCADOR PAULO FREIRE</t>
  </si>
  <si>
    <t>0340 - ESCOLA MUNICIPAL PROFESSORA MARIA DE LOURDES SANTANA ALVES</t>
  </si>
  <si>
    <t>0342 - ESCOLA MUNICIPAL CRIANCA FELIZ</t>
  </si>
  <si>
    <t>0343 - ESCOLA MUNICIPAL BARBOSA RODRIGUES</t>
  </si>
  <si>
    <t>0344 - ESCOLA MUNICIPAL AUSTRICLIANO DE CARVALHO</t>
  </si>
  <si>
    <t>0345 - ESCOLA MUNICIPAL PADRE NORBERTO</t>
  </si>
  <si>
    <t>0346 - ESCOLA MUNICIPAL FRANCISCO MANGABEIRA</t>
  </si>
  <si>
    <t>0347 - ESCOLA MUNICIPAL FILHOS DE SALOMAO</t>
  </si>
  <si>
    <t>0348 - ESCOLA MUNICIPAL JAQUEIRA DO CARNEIRO</t>
  </si>
  <si>
    <t>0349 - CENTRO MUNICIPAL DE EDUCACAO INFANTIL ANGELINA ROCHA DE ASSIS</t>
  </si>
  <si>
    <t>0350 - CENTRO MUNICIPAL DE EDUCACAO INFANTIL YOLANDA PIRES</t>
  </si>
  <si>
    <t>0351 - CENTRO MUNICIPAL DE EDUCACAO INFANTIL FRUTO DO AMANHA</t>
  </si>
  <si>
    <t>0352 - CENTRO MUNICIPAL DE EDUCACAO INFANTIL LINDAURA ANDRADE MENDONCA</t>
  </si>
  <si>
    <t>0353 - CENTRO MUNICIPAL DE EDUCACAO INFANTIL MOSA BERBERT</t>
  </si>
  <si>
    <t>0354 - CENTRO MUNICIPAL DE EDUCACAO INFANTIL SEMENTE DO AMANHA</t>
  </si>
  <si>
    <t>0355 - CENTRO MUNICIPAL DE EDUCACAO INFANTIL TEREZA HELENA MATA PIRES</t>
  </si>
  <si>
    <t>0356 - ESCOLA MUNICIPAL DO CALAFATE</t>
  </si>
  <si>
    <t>0357 - ESCOLA MUNICIPAL 15 DE OUTUBRO</t>
  </si>
  <si>
    <t>MÉRCIA NOLAIR</t>
  </si>
  <si>
    <t>0401 - ESCOLA MUNICIPAL ABRIGO FILHOS DO POVO</t>
  </si>
  <si>
    <t>0403 - ESCOLA MUNICIPAL GISELIA PALMA</t>
  </si>
  <si>
    <t>0406 - ESCOLA MUNICIPAL DR MARCOS VINICIUS VILACA</t>
  </si>
  <si>
    <t>0408 - ESCOLA MUNICIPAL DA CIDADE NOVA</t>
  </si>
  <si>
    <t>0409 - ESCOLA MUNICIPAL DO PAU MIUDO</t>
  </si>
  <si>
    <t>0414 - ESCOLA MUNICIPAL PERO VAZ VELHO</t>
  </si>
  <si>
    <t>0415 - ESCOLA MUNICIPAL PIRAJA DA SILVA</t>
  </si>
  <si>
    <t>0422 - ESCOLA MUNICIPAL ZACARIAS BOA MORTE</t>
  </si>
  <si>
    <t>0425 - ESCOLA MUNICIPAL NOSSA SENHORA DE NAZARE</t>
  </si>
  <si>
    <t>0427 - ESCOLA MUNICIPAL MANOEL FLORENCIO</t>
  </si>
  <si>
    <t>0429 - ESCOLA MUNICIPAL MAJOR ELOI MAGALHAES</t>
  </si>
  <si>
    <t>0432 - ESCOLA MUNICIPAL JOSAFA CARLOS BORGES</t>
  </si>
  <si>
    <t>0433 - ESCOLA MUNICIPAL MINISTRO SIMOES FILHO</t>
  </si>
  <si>
    <t>0434 - ESCOLA MUNICIPAL SAO JUDAS TADEU</t>
  </si>
  <si>
    <t>0435 - ESCOLA MUNICIPAL CARDEAL DA SILVA</t>
  </si>
  <si>
    <t>0437 - ESCOLA MUNICIPAL VILA VICENTINA</t>
  </si>
  <si>
    <t>0438 - ESCOLA MUNICIPAL JULIETA VIANA</t>
  </si>
  <si>
    <t>0439 - CENTRO MUNICIPAL DE EDUCACAO INFANTIL HOSANNAH DE OLIVEIRA</t>
  </si>
  <si>
    <t>0440 - CENTRO MUNICIPAL DE EDUCACAO INFANTIL JOSE ADEODATO DE SOUZA FILHO</t>
  </si>
  <si>
    <t>0441 - CENTRO MUNICIPAL DE EDUCACAO INFANTIL JOSE DA SILVA TAVARES</t>
  </si>
  <si>
    <t>0443 - ESCOLA MUNICIPAL PROFESSORA SUZANA IMBASSAHY</t>
  </si>
  <si>
    <t>0444 - CENTRO MUNICIPAL DE EDUCACAO INFANTIL EPIFANIA SILVA</t>
  </si>
  <si>
    <t>0445 - CENTRO MUNICIPAL DE EDUCACAO INFANTIL DA SANTA MONICA</t>
  </si>
  <si>
    <t>0903 - ESCOLA MUNICIPAL ARMANDO CARNEIRO DA ROCHA</t>
  </si>
  <si>
    <t>0906 - ESCOLA MUNICIPAL SENADOR ANTONIO CARLOS PEIXOTO DE MAGALHAES</t>
  </si>
  <si>
    <t>0916 - ESCOLA MUNICIPAL JOAQUIM MAGALHAES</t>
  </si>
  <si>
    <t>CLAUDIA BRIM</t>
  </si>
  <si>
    <t>0934 - ESCOLA MUNICIPAL GRACILIANO RAMOS</t>
  </si>
  <si>
    <t>0941 - ESCOLA MUNICIPAL SENHOR DO BONFIM</t>
  </si>
  <si>
    <t>0942 - ESCOLA MUNICIPAL DARCY RIBEIRO</t>
  </si>
  <si>
    <t>0952 - ESCOLA MUNICIPAL ANDRE REBOUCAS</t>
  </si>
  <si>
    <t>0961 - ESCOLA MUNICIPAL PROFESSORA EUFROSINA MIRANDA</t>
  </si>
  <si>
    <t>0963 - ESCOLA MUNICIPAL MACHADO DE ASSIS</t>
  </si>
  <si>
    <t>0967 - ESCOLA MUNICIPAL SANTO ANTONIO DAS MALVINAS</t>
  </si>
  <si>
    <t>0968 - ESCOLA MUNICIPAL PROFESSOR ITALO GAUDENZI</t>
  </si>
  <si>
    <t>0969 - CENTRO MUNICIPAL DE EDUCACAO INFANTIL MARIO ALTENFELDER</t>
  </si>
  <si>
    <t>0970 - CENTRO MUNICIPAL DE EDUCACAO INFANTIL MUNDO FELIZ</t>
  </si>
  <si>
    <t>0971 - CENTRO MUNICIPAL DE EDUCACAO INFANTIL EDUCAR E VIVER</t>
  </si>
  <si>
    <t>0972 - ESCOLA MUNICIPAL PROFESSORA OLGA METTIG</t>
  </si>
  <si>
    <t>0973 - ESCOLA MUNICIPAL MANOEL HENRIQUE DA SILVA BARRADAS</t>
  </si>
  <si>
    <t>0974 - CENTRO MUNICIPAL DE EDUCACAO INFANTIL ABDIAS NASCIMENTO</t>
  </si>
  <si>
    <t>0975 - CENTRO MUNICIPAL DE EDUCACAO INFANTIL PAULO BISPO BRAZ</t>
  </si>
  <si>
    <t>0979 - CENTRO MUNICIPAL DE EDUCACAO INFANTIL DONA MARIA EMILIA GADELHA VIANNA</t>
  </si>
  <si>
    <t>ANA SILVANA</t>
  </si>
  <si>
    <t>1001 - ESCOLA MUNICIPAL DE NOVO MAROTINHO</t>
  </si>
  <si>
    <t>1013 - CENTRO MUNICIPAL DE EDUCACAO INFANTIL CSU JOAO PAULO I</t>
  </si>
  <si>
    <t>1021 - ESCOLA MUNICIPAL PROFESSOR MILTON SANTOS</t>
  </si>
  <si>
    <t>1024 - ESCOLA MUNICIPAL PROFESSORA ELISA SALDANHA</t>
  </si>
  <si>
    <t>1026 - ESCOLA MUNICIPAL ADAUTO PEREIRA DE SOUZA</t>
  </si>
  <si>
    <t>1028 - ESCOLA MUNICIPAL EDUARDO CAMPOS</t>
  </si>
  <si>
    <t>1032 - ESCOLA MUNICIPAL PROFESSOR RICARDO PEREIRA</t>
  </si>
  <si>
    <t>1033 - ESCOLA MUNICIPAL NOSSA SENHORA APARECIDA</t>
  </si>
  <si>
    <t>1035 - ESCOLA MUNICIPAL PROFESSOR MANOEL DE ALMEIDA CRUZ</t>
  </si>
  <si>
    <t>1037 - ESCOLA MUNICIPAL PROFª IRENE DA SILVA COSTA SANTOS</t>
  </si>
  <si>
    <t>1039 - CENTRO MUNICIPAL DE EDUCACAO INFANTIL CANTINHO DAS CRIANCAS</t>
  </si>
  <si>
    <t>1040 - CENTRO MUNICIPAL DE EDUCACAO INFANTIL EDIVALDO MACHADO BOAVENTURA</t>
  </si>
  <si>
    <t>1041 - CENTRO MUNICIPAL DE EDUCACAO INFANTIL RAFAEL DE OLIVEIRA</t>
  </si>
  <si>
    <t>1042 - CENTRO MUNICIPAL DE EDUCACAO INFANTIL WALDECK ORNELAS</t>
  </si>
  <si>
    <t>1044 - ESCOLA MUNICIPAL PROFESSOR CLAUDIO VEIGA</t>
  </si>
  <si>
    <t>1045 - ESCOLA MUNICIPAL ELYSIO ATHAYDE</t>
  </si>
  <si>
    <t>1104 - ESCOLA MUNICIPAL CID PASSOS</t>
  </si>
  <si>
    <t>1110 - ESCOLA MUNICIPAL DR OTAVIANO PIMENTA</t>
  </si>
  <si>
    <t>1117 - ESCOLA MUNICIPAL ANFILOFIO DE CARVALHO</t>
  </si>
  <si>
    <t>1123 - ESCOLA MUNICIPAL PRESIDENTE MEDICI</t>
  </si>
  <si>
    <t>1126 - ESCOLA MUNICIPAL MIRANTES DE PERIPERI</t>
  </si>
  <si>
    <t>1127 - ESCOLA MUNICIPAL ALTO DE COUTOS</t>
  </si>
  <si>
    <t>1130 - ESCOLA MUNICIPAL D PEDRO I</t>
  </si>
  <si>
    <t>1135 - CENTRO MUNICIPAL DE EDUCACAO INFANTIL ALVARO BAHIA</t>
  </si>
  <si>
    <t>1136 - CENTRO MUNICIPAL DE EDUCACAO INFANTIL HELIO VIANNA</t>
  </si>
  <si>
    <t xml:space="preserve">Valores contratuais lote 2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</si>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</sst>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"/>
    <numFmt numFmtId="165" formatCode="&quot;R$ &quot;#,##0.00;&quot;-R$ &quot;#,##0.00"/>
  </numFmts>
  <fonts count="12" x14ac:knownFonts="1">
    <font>
      <sz val="11"/>
      <color theme="1"/>
      <name val="Arial"/>
      <family val="2"/>
      <scheme val="minor"/>
    </font>
    <font>
      <sz val="11"/>
      <name val="Calibri"/>
      <family val="2"/>
      <charset val="1"/>
    </font>
    <font>
      <sz val="10"/>
      <name val="Calibri"/>
      <family val="2"/>
      <charset val="1"/>
    </font>
    <font>
      <b/>
      <sz val="10"/>
      <name val="Calibri"/>
      <family val="2"/>
    </font>
    <font>
      <sz val="11"/>
      <color rgb="FF000000"/>
      <name val="Calibri"/>
      <family val="2"/>
      <charset val="1"/>
    </font>
    <font>
      <sz val="1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  <charset val="1"/>
    </font>
    <font>
      <sz val="10"/>
      <color rgb="FFFF0000"/>
      <name val="Calibri"/>
      <family val="2"/>
    </font>
    <font>
      <sz val="11"/>
      <color rgb="FFFF0000"/>
      <name val="Calibri"/>
      <family val="2"/>
    </font>
    <font>
      <b/>
      <sz val="11"/>
      <name val="Calibri"/>
      <family val="2"/>
      <charset val="1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40">
    <xf numFmtId="0" fontId="0" fillId="0" borderId="0" xfId="0"/>
    <xf numFmtId="0" fontId="2" fillId="0" borderId="0" xfId="1" applyFont="1" applyAlignment="1">
      <alignment horizontal="left"/>
    </xf>
    <xf numFmtId="164" fontId="1" fillId="0" borderId="1" xfId="1" applyNumberFormat="1" applyBorder="1"/>
    <xf numFmtId="0" fontId="1" fillId="0" borderId="0" xfId="1"/>
    <xf numFmtId="0" fontId="1" fillId="2" borderId="0" xfId="1" applyFill="1"/>
    <xf numFmtId="0" fontId="2" fillId="0" borderId="1" xfId="1" applyFont="1" applyBorder="1" applyAlignment="1">
      <alignment horizontal="left"/>
    </xf>
    <xf numFmtId="0" fontId="1" fillId="0" borderId="1" xfId="1" applyBorder="1"/>
    <xf numFmtId="0" fontId="3" fillId="3" borderId="1" xfId="1" applyFont="1" applyFill="1" applyBorder="1" applyAlignment="1">
      <alignment horizontal="center" vertical="center"/>
    </xf>
    <xf numFmtId="0" fontId="3" fillId="4" borderId="1" xfId="2" applyFont="1" applyFill="1" applyBorder="1" applyAlignment="1">
      <alignment horizontal="center" vertical="center"/>
    </xf>
    <xf numFmtId="0" fontId="3" fillId="4" borderId="1" xfId="2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2" applyFont="1" applyFill="1" applyBorder="1" applyAlignment="1">
      <alignment horizontal="center" vertical="center"/>
    </xf>
    <xf numFmtId="0" fontId="3" fillId="4" borderId="2" xfId="2" applyFont="1" applyFill="1" applyBorder="1" applyAlignment="1">
      <alignment horizontal="center" vertical="center" wrapText="1"/>
    </xf>
    <xf numFmtId="0" fontId="2" fillId="0" borderId="3" xfId="1" applyFont="1" applyBorder="1" applyAlignment="1">
      <alignment horizontal="left" vertical="center"/>
    </xf>
    <xf numFmtId="0" fontId="5" fillId="2" borderId="3" xfId="2" applyFont="1" applyFill="1" applyBorder="1" applyAlignment="1">
      <alignment horizontal="left" vertical="center"/>
    </xf>
    <xf numFmtId="0" fontId="2" fillId="0" borderId="3" xfId="2" applyFont="1" applyBorder="1" applyAlignment="1">
      <alignment horizontal="center" vertical="center"/>
    </xf>
    <xf numFmtId="0" fontId="6" fillId="2" borderId="3" xfId="2" applyFont="1" applyFill="1" applyBorder="1" applyAlignment="1">
      <alignment horizontal="left" vertical="center"/>
    </xf>
    <xf numFmtId="0" fontId="0" fillId="0" borderId="0" xfId="1" applyFont="1"/>
    <xf numFmtId="0" fontId="2" fillId="2" borderId="3" xfId="1" applyFont="1" applyFill="1" applyBorder="1" applyAlignment="1">
      <alignment horizontal="left" vertical="center"/>
    </xf>
    <xf numFmtId="0" fontId="5" fillId="0" borderId="3" xfId="2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2" fillId="0" borderId="0" xfId="2" applyFont="1" applyAlignment="1">
      <alignment horizontal="left" vertical="center"/>
    </xf>
    <xf numFmtId="0" fontId="2" fillId="0" borderId="0" xfId="2" applyFont="1" applyAlignment="1">
      <alignment horizontal="center" vertical="center"/>
    </xf>
    <xf numFmtId="0" fontId="7" fillId="0" borderId="0" xfId="1" applyFont="1"/>
    <xf numFmtId="3" fontId="1" fillId="0" borderId="0" xfId="1" applyNumberFormat="1" applyAlignment="1">
      <alignment horizontal="center" vertical="center"/>
    </xf>
    <xf numFmtId="0" fontId="8" fillId="0" borderId="0" xfId="1" applyFont="1" applyAlignment="1">
      <alignment horizontal="left"/>
    </xf>
    <xf numFmtId="0" fontId="8" fillId="0" borderId="0" xfId="2" applyFont="1" applyAlignment="1">
      <alignment horizontal="left"/>
    </xf>
    <xf numFmtId="165" fontId="9" fillId="0" borderId="0" xfId="1" applyNumberFormat="1" applyFont="1" applyAlignment="1">
      <alignment horizontal="center" vertical="center"/>
    </xf>
    <xf numFmtId="0" fontId="9" fillId="0" borderId="0" xfId="1" applyFont="1"/>
    <xf numFmtId="0" fontId="9" fillId="2" borderId="0" xfId="1" applyFont="1" applyFill="1"/>
    <xf numFmtId="0" fontId="2" fillId="0" borderId="0" xfId="1" applyFont="1" applyAlignment="1">
      <alignment horizontal="center"/>
    </xf>
    <xf numFmtId="0" fontId="10" fillId="0" borderId="0" xfId="1" applyFont="1" applyAlignment="1">
      <alignment horizontal="left"/>
    </xf>
    <xf numFmtId="164" fontId="1" fillId="0" borderId="0" xfId="1" applyNumberFormat="1" applyAlignment="1">
      <alignment horizontal="center"/>
    </xf>
    <xf numFmtId="164" fontId="1" fillId="2" borderId="0" xfId="1" applyNumberFormat="1" applyFill="1" applyAlignment="1">
      <alignment horizontal="center"/>
    </xf>
    <xf numFmtId="0" fontId="1" fillId="2" borderId="0" xfId="1" applyFill="1" applyAlignment="1">
      <alignment horizontal="center"/>
    </xf>
    <xf numFmtId="0" fontId="1" fillId="0" borderId="0" xfId="1" applyAlignment="1">
      <alignment horizontal="center"/>
    </xf>
    <xf numFmtId="0" fontId="11" fillId="0" borderId="4" xfId="1" applyFont="1" applyBorder="1" applyAlignment="1">
      <alignment horizontal="center"/>
    </xf>
    <xf numFmtId="0" fontId="11" fillId="0" borderId="5" xfId="1" applyFont="1" applyBorder="1" applyAlignment="1">
      <alignment horizontal="center"/>
    </xf>
    <xf numFmtId="164" fontId="11" fillId="0" borderId="1" xfId="1" applyNumberFormat="1" applyFont="1" applyBorder="1"/>
    <xf numFmtId="164" fontId="1" fillId="0" borderId="0" xfId="1" applyNumberFormat="1"/>
  </cellXfs>
  <cellStyles count="3">
    <cellStyle name="Normal" xfId="0" builtinId="0"/>
    <cellStyle name="Normal 2" xfId="2" xr:uid="{0C559BD7-218F-4B86-87A4-98A9C74B5535}"/>
    <cellStyle name="Normal 5" xfId="1" xr:uid="{8699B31B-59FA-45F1-B454-C4B0E8BDF6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C8565-E93F-4EE0-8F75-A964CA558E42}">
  <sheetPr>
    <pageSetUpPr fitToPage="1"/>
  </sheetPr>
  <dimension ref="A1:AT177"/>
  <sheetViews>
    <sheetView showGridLines="0" tabSelected="1" zoomScale="80" zoomScaleNormal="80" workbookViewId="0">
      <pane ySplit="4" topLeftCell="A134" activePane="bottomLeft" state="frozen"/>
      <selection activeCell="B159" sqref="B159"/>
      <selection pane="bottomLeft" activeCell="B169" sqref="B169"/>
    </sheetView>
  </sheetViews>
  <sheetFormatPr defaultColWidth="8" defaultRowHeight="15" x14ac:dyDescent="0.25"/>
  <cols>
    <col min="1" max="1" width="21.5" style="1" bestFit="1" customWidth="1"/>
    <col min="2" max="2" width="63.875" style="3" customWidth="1"/>
    <col min="3" max="3" width="18" style="3" customWidth="1"/>
    <col min="4" max="4" width="17.125" style="3" bestFit="1" customWidth="1"/>
    <col min="5" max="5" width="11.125" style="3" customWidth="1"/>
    <col min="6" max="6" width="16.375" style="3" bestFit="1" customWidth="1"/>
    <col min="7" max="7" width="13.625" style="3" bestFit="1" customWidth="1"/>
    <col min="8" max="8" width="13.375" style="3" bestFit="1" customWidth="1"/>
    <col min="9" max="9" width="12" style="3" bestFit="1" customWidth="1"/>
    <col min="10" max="11" width="11.125" style="3" customWidth="1"/>
    <col min="12" max="12" width="16" style="3" customWidth="1"/>
    <col min="13" max="13" width="13.625" style="3" bestFit="1" customWidth="1"/>
    <col min="14" max="14" width="14.375" style="4" customWidth="1"/>
    <col min="15" max="15" width="17.875" style="4" customWidth="1"/>
    <col min="16" max="46" width="8" style="4"/>
    <col min="47" max="16384" width="8" style="3"/>
  </cols>
  <sheetData>
    <row r="1" spans="1:46" x14ac:dyDescent="0.25">
      <c r="A1" s="1" t="s">
        <v>0</v>
      </c>
      <c r="B1" s="2">
        <f>M175</f>
        <v>0</v>
      </c>
    </row>
    <row r="2" spans="1:46" x14ac:dyDescent="0.25">
      <c r="A2" s="5" t="s">
        <v>1</v>
      </c>
      <c r="B2" s="6">
        <v>4</v>
      </c>
    </row>
    <row r="3" spans="1:46" ht="19.5" customHeight="1" x14ac:dyDescent="0.25">
      <c r="A3" s="7" t="s">
        <v>2</v>
      </c>
      <c r="B3" s="8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</row>
    <row r="4" spans="1:46" ht="25.5" x14ac:dyDescent="0.25">
      <c r="A4" s="10"/>
      <c r="B4" s="11"/>
      <c r="C4" s="12" t="s">
        <v>15</v>
      </c>
      <c r="D4" s="12" t="s">
        <v>16</v>
      </c>
      <c r="E4" s="12" t="s">
        <v>17</v>
      </c>
      <c r="F4" s="12" t="s">
        <v>18</v>
      </c>
      <c r="G4" s="12" t="s">
        <v>19</v>
      </c>
      <c r="H4" s="12" t="s">
        <v>20</v>
      </c>
      <c r="I4" s="12" t="s">
        <v>21</v>
      </c>
      <c r="J4" s="12" t="s">
        <v>22</v>
      </c>
      <c r="K4" s="12" t="s">
        <v>23</v>
      </c>
      <c r="L4" s="12" t="s">
        <v>24</v>
      </c>
      <c r="M4" s="12" t="s">
        <v>25</v>
      </c>
    </row>
    <row r="5" spans="1:46" x14ac:dyDescent="0.25">
      <c r="A5" s="13" t="s">
        <v>26</v>
      </c>
      <c r="B5" s="14" t="s">
        <v>27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spans="1:46" x14ac:dyDescent="0.25">
      <c r="A6" s="13" t="s">
        <v>26</v>
      </c>
      <c r="B6" s="14" t="s">
        <v>28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spans="1:46" x14ac:dyDescent="0.25">
      <c r="A7" s="13" t="s">
        <v>29</v>
      </c>
      <c r="B7" s="14" t="s">
        <v>30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spans="1:46" x14ac:dyDescent="0.25">
      <c r="A8" s="13" t="s">
        <v>31</v>
      </c>
      <c r="B8" s="14" t="s">
        <v>32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x14ac:dyDescent="0.25">
      <c r="A9" s="13" t="s">
        <v>26</v>
      </c>
      <c r="B9" s="14" t="s">
        <v>33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spans="1:46" s="17" customFormat="1" ht="14.25" x14ac:dyDescent="0.2">
      <c r="A10" s="13" t="s">
        <v>31</v>
      </c>
      <c r="B10" s="16" t="s">
        <v>34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</row>
    <row r="11" spans="1:46" x14ac:dyDescent="0.25">
      <c r="A11" s="13" t="s">
        <v>26</v>
      </c>
      <c r="B11" s="14" t="s">
        <v>35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</row>
    <row r="12" spans="1:46" x14ac:dyDescent="0.25">
      <c r="A12" s="13" t="s">
        <v>29</v>
      </c>
      <c r="B12" s="14" t="s">
        <v>36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x14ac:dyDescent="0.25">
      <c r="A13" s="13" t="s">
        <v>31</v>
      </c>
      <c r="B13" s="14" t="s">
        <v>37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x14ac:dyDescent="0.25">
      <c r="A14" s="13" t="s">
        <v>29</v>
      </c>
      <c r="B14" s="14" t="s">
        <v>38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x14ac:dyDescent="0.25">
      <c r="A15" s="13" t="s">
        <v>29</v>
      </c>
      <c r="B15" s="14" t="s">
        <v>39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x14ac:dyDescent="0.25">
      <c r="A16" s="13" t="s">
        <v>31</v>
      </c>
      <c r="B16" s="14" t="s">
        <v>40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</row>
    <row r="17" spans="1:46" x14ac:dyDescent="0.25">
      <c r="A17" s="13" t="s">
        <v>31</v>
      </c>
      <c r="B17" s="14" t="s">
        <v>41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</row>
    <row r="18" spans="1:46" x14ac:dyDescent="0.25">
      <c r="A18" s="13" t="s">
        <v>26</v>
      </c>
      <c r="B18" s="14" t="s">
        <v>42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</row>
    <row r="19" spans="1:46" x14ac:dyDescent="0.25">
      <c r="A19" s="13" t="s">
        <v>31</v>
      </c>
      <c r="B19" s="14" t="s">
        <v>43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</row>
    <row r="20" spans="1:46" x14ac:dyDescent="0.25">
      <c r="A20" s="13" t="s">
        <v>26</v>
      </c>
      <c r="B20" s="14" t="s">
        <v>44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</row>
    <row r="21" spans="1:46" x14ac:dyDescent="0.25">
      <c r="A21" s="13" t="s">
        <v>26</v>
      </c>
      <c r="B21" s="14" t="s">
        <v>45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</row>
    <row r="22" spans="1:46" x14ac:dyDescent="0.25">
      <c r="A22" s="13" t="s">
        <v>31</v>
      </c>
      <c r="B22" s="14" t="s">
        <v>46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</row>
    <row r="23" spans="1:46" x14ac:dyDescent="0.25">
      <c r="A23" s="13" t="s">
        <v>26</v>
      </c>
      <c r="B23" s="14" t="s">
        <v>47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r="24" spans="1:46" x14ac:dyDescent="0.25">
      <c r="A24" s="13" t="s">
        <v>26</v>
      </c>
      <c r="B24" s="14" t="s">
        <v>48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 spans="1:46" x14ac:dyDescent="0.25">
      <c r="A25" s="13" t="s">
        <v>29</v>
      </c>
      <c r="B25" s="14" t="s">
        <v>49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spans="1:46" s="4" customFormat="1" x14ac:dyDescent="0.25">
      <c r="A26" s="13" t="s">
        <v>29</v>
      </c>
      <c r="B26" s="14" t="s">
        <v>50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</row>
    <row r="27" spans="1:46" s="4" customFormat="1" x14ac:dyDescent="0.25">
      <c r="A27" s="13" t="s">
        <v>26</v>
      </c>
      <c r="B27" s="14" t="s">
        <v>51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</row>
    <row r="28" spans="1:46" s="4" customFormat="1" x14ac:dyDescent="0.25">
      <c r="A28" s="13" t="s">
        <v>29</v>
      </c>
      <c r="B28" s="14" t="s">
        <v>52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</row>
    <row r="29" spans="1:46" s="4" customFormat="1" x14ac:dyDescent="0.25">
      <c r="A29" s="13" t="s">
        <v>26</v>
      </c>
      <c r="B29" s="14" t="s">
        <v>53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</row>
    <row r="30" spans="1:46" s="4" customFormat="1" x14ac:dyDescent="0.25">
      <c r="A30" s="13" t="s">
        <v>29</v>
      </c>
      <c r="B30" s="14" t="s">
        <v>54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</row>
    <row r="31" spans="1:46" s="4" customFormat="1" x14ac:dyDescent="0.25">
      <c r="A31" s="13" t="s">
        <v>29</v>
      </c>
      <c r="B31" s="14" t="s">
        <v>55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</row>
    <row r="32" spans="1:46" s="4" customFormat="1" x14ac:dyDescent="0.25">
      <c r="A32" s="13" t="s">
        <v>31</v>
      </c>
      <c r="B32" s="14" t="s">
        <v>56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</row>
    <row r="33" spans="1:13" s="4" customFormat="1" x14ac:dyDescent="0.25">
      <c r="A33" s="13" t="s">
        <v>29</v>
      </c>
      <c r="B33" s="14" t="s">
        <v>57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</row>
    <row r="34" spans="1:13" s="4" customFormat="1" x14ac:dyDescent="0.25">
      <c r="A34" s="13" t="s">
        <v>29</v>
      </c>
      <c r="B34" s="14" t="s">
        <v>58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</row>
    <row r="35" spans="1:13" s="4" customFormat="1" x14ac:dyDescent="0.25">
      <c r="A35" s="13" t="s">
        <v>31</v>
      </c>
      <c r="B35" s="14" t="s">
        <v>59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</row>
    <row r="36" spans="1:13" s="4" customFormat="1" x14ac:dyDescent="0.25">
      <c r="A36" s="13" t="s">
        <v>31</v>
      </c>
      <c r="B36" s="14" t="s">
        <v>60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</row>
    <row r="37" spans="1:13" s="4" customFormat="1" x14ac:dyDescent="0.25">
      <c r="A37" s="13" t="s">
        <v>29</v>
      </c>
      <c r="B37" s="14" t="s">
        <v>61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</row>
    <row r="38" spans="1:13" s="4" customFormat="1" x14ac:dyDescent="0.25">
      <c r="A38" s="13" t="s">
        <v>26</v>
      </c>
      <c r="B38" s="14" t="s">
        <v>62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</row>
    <row r="39" spans="1:13" s="4" customFormat="1" x14ac:dyDescent="0.25">
      <c r="A39" s="13" t="s">
        <v>31</v>
      </c>
      <c r="B39" s="14" t="s">
        <v>63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</row>
    <row r="40" spans="1:13" s="4" customFormat="1" x14ac:dyDescent="0.25">
      <c r="A40" s="13" t="s">
        <v>26</v>
      </c>
      <c r="B40" s="14" t="s">
        <v>64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</row>
    <row r="41" spans="1:13" s="4" customFormat="1" x14ac:dyDescent="0.25">
      <c r="A41" s="13" t="s">
        <v>29</v>
      </c>
      <c r="B41" s="14" t="s">
        <v>65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</row>
    <row r="42" spans="1:13" s="4" customFormat="1" x14ac:dyDescent="0.25">
      <c r="A42" s="18" t="s">
        <v>66</v>
      </c>
      <c r="B42" s="14" t="s">
        <v>67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</row>
    <row r="43" spans="1:13" s="4" customFormat="1" x14ac:dyDescent="0.25">
      <c r="A43" s="18" t="s">
        <v>66</v>
      </c>
      <c r="B43" s="14" t="s">
        <v>68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</row>
    <row r="44" spans="1:13" s="4" customFormat="1" x14ac:dyDescent="0.25">
      <c r="A44" s="18" t="s">
        <v>66</v>
      </c>
      <c r="B44" s="14" t="s">
        <v>69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</row>
    <row r="45" spans="1:13" s="4" customFormat="1" x14ac:dyDescent="0.25">
      <c r="A45" s="18" t="s">
        <v>70</v>
      </c>
      <c r="B45" s="14" t="s">
        <v>71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</row>
    <row r="46" spans="1:13" s="4" customFormat="1" x14ac:dyDescent="0.25">
      <c r="A46" s="18" t="s">
        <v>70</v>
      </c>
      <c r="B46" s="14" t="s">
        <v>72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</row>
    <row r="47" spans="1:13" s="4" customFormat="1" x14ac:dyDescent="0.25">
      <c r="A47" s="18" t="s">
        <v>70</v>
      </c>
      <c r="B47" s="14" t="s">
        <v>73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</row>
    <row r="48" spans="1:13" s="4" customFormat="1" x14ac:dyDescent="0.25">
      <c r="A48" s="18" t="s">
        <v>70</v>
      </c>
      <c r="B48" s="14" t="s">
        <v>74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</row>
    <row r="49" spans="1:13" s="4" customFormat="1" x14ac:dyDescent="0.25">
      <c r="A49" s="18" t="s">
        <v>66</v>
      </c>
      <c r="B49" s="14" t="s">
        <v>75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</row>
    <row r="50" spans="1:13" s="4" customFormat="1" x14ac:dyDescent="0.25">
      <c r="A50" s="18" t="s">
        <v>66</v>
      </c>
      <c r="B50" s="14" t="s">
        <v>76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</row>
    <row r="51" spans="1:13" s="4" customFormat="1" x14ac:dyDescent="0.25">
      <c r="A51" s="18" t="s">
        <v>70</v>
      </c>
      <c r="B51" s="14" t="s">
        <v>77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</row>
    <row r="52" spans="1:13" s="4" customFormat="1" x14ac:dyDescent="0.25">
      <c r="A52" s="18" t="s">
        <v>66</v>
      </c>
      <c r="B52" s="14" t="s">
        <v>78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</row>
    <row r="53" spans="1:13" s="4" customFormat="1" x14ac:dyDescent="0.25">
      <c r="A53" s="18" t="s">
        <v>70</v>
      </c>
      <c r="B53" s="14" t="s">
        <v>79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</row>
    <row r="54" spans="1:13" s="4" customFormat="1" x14ac:dyDescent="0.25">
      <c r="A54" s="18" t="s">
        <v>70</v>
      </c>
      <c r="B54" s="14" t="s">
        <v>80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</row>
    <row r="55" spans="1:13" s="4" customFormat="1" x14ac:dyDescent="0.25">
      <c r="A55" s="18" t="s">
        <v>66</v>
      </c>
      <c r="B55" s="14" t="s">
        <v>81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</row>
    <row r="56" spans="1:13" s="4" customFormat="1" x14ac:dyDescent="0.25">
      <c r="A56" s="18" t="s">
        <v>70</v>
      </c>
      <c r="B56" s="14" t="s">
        <v>82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</row>
    <row r="57" spans="1:13" s="4" customFormat="1" x14ac:dyDescent="0.25">
      <c r="A57" s="18" t="s">
        <v>66</v>
      </c>
      <c r="B57" s="14" t="s">
        <v>83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</row>
    <row r="58" spans="1:13" s="4" customFormat="1" x14ac:dyDescent="0.25">
      <c r="A58" s="18" t="s">
        <v>66</v>
      </c>
      <c r="B58" s="14" t="s">
        <v>84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</row>
    <row r="59" spans="1:13" s="4" customFormat="1" x14ac:dyDescent="0.25">
      <c r="A59" s="18" t="s">
        <v>70</v>
      </c>
      <c r="B59" s="14" t="s">
        <v>85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</row>
    <row r="60" spans="1:13" s="4" customFormat="1" x14ac:dyDescent="0.25">
      <c r="A60" s="18" t="s">
        <v>66</v>
      </c>
      <c r="B60" s="14" t="s">
        <v>86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</row>
    <row r="61" spans="1:13" s="4" customFormat="1" x14ac:dyDescent="0.25">
      <c r="A61" s="18" t="s">
        <v>70</v>
      </c>
      <c r="B61" s="14" t="s">
        <v>87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</row>
    <row r="62" spans="1:13" s="4" customFormat="1" x14ac:dyDescent="0.25">
      <c r="A62" s="18" t="s">
        <v>66</v>
      </c>
      <c r="B62" s="14" t="s">
        <v>88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</row>
    <row r="63" spans="1:13" s="4" customFormat="1" x14ac:dyDescent="0.25">
      <c r="A63" s="18" t="s">
        <v>70</v>
      </c>
      <c r="B63" s="14" t="s">
        <v>89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</row>
    <row r="64" spans="1:13" s="4" customFormat="1" x14ac:dyDescent="0.25">
      <c r="A64" s="18" t="s">
        <v>66</v>
      </c>
      <c r="B64" s="14" t="s">
        <v>90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</row>
    <row r="65" spans="1:13" s="4" customFormat="1" x14ac:dyDescent="0.25">
      <c r="A65" s="18" t="s">
        <v>66</v>
      </c>
      <c r="B65" s="14" t="s">
        <v>91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</row>
    <row r="66" spans="1:13" s="4" customFormat="1" x14ac:dyDescent="0.25">
      <c r="A66" s="18" t="s">
        <v>92</v>
      </c>
      <c r="B66" s="14" t="s">
        <v>93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</row>
    <row r="67" spans="1:13" s="4" customFormat="1" x14ac:dyDescent="0.25">
      <c r="A67" s="18" t="s">
        <v>94</v>
      </c>
      <c r="B67" s="14" t="s">
        <v>95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</row>
    <row r="68" spans="1:13" s="4" customFormat="1" x14ac:dyDescent="0.25">
      <c r="A68" s="18" t="s">
        <v>94</v>
      </c>
      <c r="B68" s="14" t="s">
        <v>96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</row>
    <row r="69" spans="1:13" s="4" customFormat="1" x14ac:dyDescent="0.25">
      <c r="A69" s="18" t="s">
        <v>97</v>
      </c>
      <c r="B69" s="14" t="s">
        <v>98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</row>
    <row r="70" spans="1:13" s="4" customFormat="1" x14ac:dyDescent="0.25">
      <c r="A70" s="18" t="s">
        <v>97</v>
      </c>
      <c r="B70" s="14" t="s">
        <v>99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</row>
    <row r="71" spans="1:13" s="4" customFormat="1" x14ac:dyDescent="0.25">
      <c r="A71" s="18" t="s">
        <v>92</v>
      </c>
      <c r="B71" s="14" t="s">
        <v>100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</row>
    <row r="72" spans="1:13" s="4" customFormat="1" x14ac:dyDescent="0.25">
      <c r="A72" s="18" t="s">
        <v>101</v>
      </c>
      <c r="B72" s="14" t="s">
        <v>102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</row>
    <row r="73" spans="1:13" s="4" customFormat="1" x14ac:dyDescent="0.25">
      <c r="A73" s="18" t="s">
        <v>94</v>
      </c>
      <c r="B73" s="14" t="s">
        <v>103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</row>
    <row r="74" spans="1:13" s="4" customFormat="1" x14ac:dyDescent="0.25">
      <c r="A74" s="18" t="s">
        <v>97</v>
      </c>
      <c r="B74" s="14" t="s">
        <v>104</v>
      </c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</row>
    <row r="75" spans="1:13" s="4" customFormat="1" x14ac:dyDescent="0.25">
      <c r="A75" s="18" t="s">
        <v>97</v>
      </c>
      <c r="B75" s="14" t="s">
        <v>105</v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</row>
    <row r="76" spans="1:13" s="4" customFormat="1" x14ac:dyDescent="0.25">
      <c r="A76" s="18" t="s">
        <v>94</v>
      </c>
      <c r="B76" s="14" t="s">
        <v>106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</row>
    <row r="77" spans="1:13" s="4" customFormat="1" x14ac:dyDescent="0.25">
      <c r="A77" s="18" t="s">
        <v>94</v>
      </c>
      <c r="B77" s="14" t="s">
        <v>107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</row>
    <row r="78" spans="1:13" s="4" customFormat="1" x14ac:dyDescent="0.25">
      <c r="A78" s="18" t="s">
        <v>101</v>
      </c>
      <c r="B78" s="14" t="s">
        <v>108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</row>
    <row r="79" spans="1:13" s="4" customFormat="1" x14ac:dyDescent="0.25">
      <c r="A79" s="18" t="s">
        <v>109</v>
      </c>
      <c r="B79" s="14" t="s">
        <v>110</v>
      </c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</row>
    <row r="80" spans="1:13" s="4" customFormat="1" x14ac:dyDescent="0.25">
      <c r="A80" s="18" t="s">
        <v>97</v>
      </c>
      <c r="B80" s="14" t="s">
        <v>111</v>
      </c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</row>
    <row r="81" spans="1:13" s="4" customFormat="1" x14ac:dyDescent="0.25">
      <c r="A81" s="18" t="s">
        <v>92</v>
      </c>
      <c r="B81" s="14" t="s">
        <v>112</v>
      </c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</row>
    <row r="82" spans="1:13" s="4" customFormat="1" x14ac:dyDescent="0.25">
      <c r="A82" s="18" t="s">
        <v>97</v>
      </c>
      <c r="B82" s="14" t="s">
        <v>113</v>
      </c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</row>
    <row r="83" spans="1:13" s="4" customFormat="1" x14ac:dyDescent="0.25">
      <c r="A83" s="18" t="s">
        <v>94</v>
      </c>
      <c r="B83" s="14" t="s">
        <v>114</v>
      </c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</row>
    <row r="84" spans="1:13" s="4" customFormat="1" x14ac:dyDescent="0.25">
      <c r="A84" s="18" t="s">
        <v>94</v>
      </c>
      <c r="B84" s="14" t="s">
        <v>115</v>
      </c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</row>
    <row r="85" spans="1:13" s="4" customFormat="1" x14ac:dyDescent="0.25">
      <c r="A85" s="18" t="s">
        <v>97</v>
      </c>
      <c r="B85" s="14" t="s">
        <v>116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</row>
    <row r="86" spans="1:13" s="4" customFormat="1" x14ac:dyDescent="0.25">
      <c r="A86" s="18" t="s">
        <v>94</v>
      </c>
      <c r="B86" s="14" t="s">
        <v>117</v>
      </c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</row>
    <row r="87" spans="1:13" s="4" customFormat="1" x14ac:dyDescent="0.25">
      <c r="A87" s="18" t="s">
        <v>97</v>
      </c>
      <c r="B87" s="14" t="s">
        <v>118</v>
      </c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</row>
    <row r="88" spans="1:13" s="4" customFormat="1" x14ac:dyDescent="0.25">
      <c r="A88" s="18" t="s">
        <v>92</v>
      </c>
      <c r="B88" s="14" t="s">
        <v>119</v>
      </c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</row>
    <row r="89" spans="1:13" s="4" customFormat="1" x14ac:dyDescent="0.25">
      <c r="A89" s="18" t="s">
        <v>97</v>
      </c>
      <c r="B89" s="14" t="s">
        <v>120</v>
      </c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</row>
    <row r="90" spans="1:13" s="4" customFormat="1" x14ac:dyDescent="0.25">
      <c r="A90" s="18" t="s">
        <v>109</v>
      </c>
      <c r="B90" s="14" t="s">
        <v>121</v>
      </c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</row>
    <row r="91" spans="1:13" s="4" customFormat="1" x14ac:dyDescent="0.25">
      <c r="A91" s="18" t="s">
        <v>94</v>
      </c>
      <c r="B91" s="14" t="s">
        <v>122</v>
      </c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</row>
    <row r="92" spans="1:13" s="4" customFormat="1" x14ac:dyDescent="0.25">
      <c r="A92" s="18" t="s">
        <v>97</v>
      </c>
      <c r="B92" s="14" t="s">
        <v>123</v>
      </c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</row>
    <row r="93" spans="1:13" s="4" customFormat="1" x14ac:dyDescent="0.25">
      <c r="A93" s="18" t="s">
        <v>97</v>
      </c>
      <c r="B93" s="14" t="s">
        <v>124</v>
      </c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</row>
    <row r="94" spans="1:13" s="4" customFormat="1" x14ac:dyDescent="0.25">
      <c r="A94" s="18" t="s">
        <v>94</v>
      </c>
      <c r="B94" s="14" t="s">
        <v>125</v>
      </c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s="4" customFormat="1" x14ac:dyDescent="0.25">
      <c r="A95" s="18" t="s">
        <v>94</v>
      </c>
      <c r="B95" s="14" t="s">
        <v>126</v>
      </c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  <row r="96" spans="1:13" s="4" customFormat="1" x14ac:dyDescent="0.25">
      <c r="A96" s="18" t="s">
        <v>97</v>
      </c>
      <c r="B96" s="14" t="s">
        <v>127</v>
      </c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</row>
    <row r="97" spans="1:13" s="4" customFormat="1" x14ac:dyDescent="0.25">
      <c r="A97" s="18" t="s">
        <v>101</v>
      </c>
      <c r="B97" s="14" t="s">
        <v>128</v>
      </c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</row>
    <row r="98" spans="1:13" s="4" customFormat="1" x14ac:dyDescent="0.25">
      <c r="A98" s="18" t="s">
        <v>94</v>
      </c>
      <c r="B98" s="14" t="s">
        <v>129</v>
      </c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</row>
    <row r="99" spans="1:13" s="4" customFormat="1" x14ac:dyDescent="0.25">
      <c r="A99" s="18" t="s">
        <v>101</v>
      </c>
      <c r="B99" s="14" t="s">
        <v>130</v>
      </c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</row>
    <row r="100" spans="1:13" s="4" customFormat="1" x14ac:dyDescent="0.25">
      <c r="A100" s="18" t="s">
        <v>109</v>
      </c>
      <c r="B100" s="14" t="s">
        <v>131</v>
      </c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</row>
    <row r="101" spans="1:13" s="4" customFormat="1" x14ac:dyDescent="0.25">
      <c r="A101" s="18" t="s">
        <v>101</v>
      </c>
      <c r="B101" s="14" t="s">
        <v>132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</row>
    <row r="102" spans="1:13" s="4" customFormat="1" x14ac:dyDescent="0.25">
      <c r="A102" s="18" t="s">
        <v>101</v>
      </c>
      <c r="B102" s="14" t="s">
        <v>133</v>
      </c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</row>
    <row r="103" spans="1:13" s="4" customFormat="1" x14ac:dyDescent="0.25">
      <c r="A103" s="18" t="s">
        <v>134</v>
      </c>
      <c r="B103" s="14" t="s">
        <v>135</v>
      </c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</row>
    <row r="104" spans="1:13" s="4" customFormat="1" x14ac:dyDescent="0.25">
      <c r="A104" s="18" t="s">
        <v>101</v>
      </c>
      <c r="B104" s="14" t="s">
        <v>136</v>
      </c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</row>
    <row r="105" spans="1:13" s="4" customFormat="1" x14ac:dyDescent="0.25">
      <c r="A105" s="18" t="s">
        <v>101</v>
      </c>
      <c r="B105" s="14" t="s">
        <v>137</v>
      </c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</row>
    <row r="106" spans="1:13" s="4" customFormat="1" x14ac:dyDescent="0.25">
      <c r="A106" s="18" t="s">
        <v>134</v>
      </c>
      <c r="B106" s="14" t="s">
        <v>138</v>
      </c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</row>
    <row r="107" spans="1:13" s="4" customFormat="1" ht="14.25" customHeight="1" x14ac:dyDescent="0.25">
      <c r="A107" s="18" t="s">
        <v>134</v>
      </c>
      <c r="B107" s="14" t="s">
        <v>139</v>
      </c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</row>
    <row r="108" spans="1:13" s="4" customFormat="1" x14ac:dyDescent="0.25">
      <c r="A108" s="18" t="s">
        <v>134</v>
      </c>
      <c r="B108" s="14" t="s">
        <v>140</v>
      </c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</row>
    <row r="109" spans="1:13" s="4" customFormat="1" x14ac:dyDescent="0.25">
      <c r="A109" s="18" t="s">
        <v>134</v>
      </c>
      <c r="B109" s="14" t="s">
        <v>141</v>
      </c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</row>
    <row r="110" spans="1:13" s="4" customFormat="1" x14ac:dyDescent="0.25">
      <c r="A110" s="18" t="s">
        <v>134</v>
      </c>
      <c r="B110" s="14" t="s">
        <v>142</v>
      </c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</row>
    <row r="111" spans="1:13" s="4" customFormat="1" x14ac:dyDescent="0.25">
      <c r="A111" s="18" t="s">
        <v>134</v>
      </c>
      <c r="B111" s="14" t="s">
        <v>143</v>
      </c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</row>
    <row r="112" spans="1:13" s="4" customFormat="1" x14ac:dyDescent="0.25">
      <c r="A112" s="18" t="s">
        <v>101</v>
      </c>
      <c r="B112" s="14" t="s">
        <v>144</v>
      </c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</row>
    <row r="113" spans="1:13" s="4" customFormat="1" x14ac:dyDescent="0.25">
      <c r="A113" s="13" t="s">
        <v>31</v>
      </c>
      <c r="B113" s="14" t="s">
        <v>145</v>
      </c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</row>
    <row r="114" spans="1:13" s="4" customFormat="1" x14ac:dyDescent="0.25">
      <c r="A114" s="18" t="s">
        <v>134</v>
      </c>
      <c r="B114" s="14" t="s">
        <v>146</v>
      </c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</row>
    <row r="115" spans="1:13" s="4" customFormat="1" x14ac:dyDescent="0.25">
      <c r="A115" s="18" t="s">
        <v>70</v>
      </c>
      <c r="B115" s="14" t="s">
        <v>147</v>
      </c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</row>
    <row r="116" spans="1:13" s="4" customFormat="1" x14ac:dyDescent="0.25">
      <c r="A116" s="18" t="s">
        <v>134</v>
      </c>
      <c r="B116" s="14" t="s">
        <v>148</v>
      </c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</row>
    <row r="117" spans="1:13" s="4" customFormat="1" x14ac:dyDescent="0.25">
      <c r="A117" s="18" t="s">
        <v>101</v>
      </c>
      <c r="B117" s="14" t="s">
        <v>149</v>
      </c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</row>
    <row r="118" spans="1:13" s="4" customFormat="1" x14ac:dyDescent="0.25">
      <c r="A118" s="18" t="s">
        <v>134</v>
      </c>
      <c r="B118" s="14" t="s">
        <v>150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</row>
    <row r="119" spans="1:13" s="4" customFormat="1" x14ac:dyDescent="0.25">
      <c r="A119" s="18" t="s">
        <v>134</v>
      </c>
      <c r="B119" s="14" t="s">
        <v>151</v>
      </c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</row>
    <row r="120" spans="1:13" s="4" customFormat="1" x14ac:dyDescent="0.25">
      <c r="A120" s="18" t="s">
        <v>134</v>
      </c>
      <c r="B120" s="14" t="s">
        <v>152</v>
      </c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</row>
    <row r="121" spans="1:13" s="4" customFormat="1" x14ac:dyDescent="0.25">
      <c r="A121" s="18" t="s">
        <v>134</v>
      </c>
      <c r="B121" s="14" t="s">
        <v>153</v>
      </c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</row>
    <row r="122" spans="1:13" s="4" customFormat="1" x14ac:dyDescent="0.25">
      <c r="A122" s="18" t="s">
        <v>101</v>
      </c>
      <c r="B122" s="14" t="s">
        <v>154</v>
      </c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</row>
    <row r="123" spans="1:13" s="4" customFormat="1" x14ac:dyDescent="0.25">
      <c r="A123" s="13" t="s">
        <v>31</v>
      </c>
      <c r="B123" s="14" t="s">
        <v>155</v>
      </c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</row>
    <row r="124" spans="1:13" s="4" customFormat="1" x14ac:dyDescent="0.25">
      <c r="A124" s="18" t="s">
        <v>101</v>
      </c>
      <c r="B124" s="14" t="s">
        <v>156</v>
      </c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</row>
    <row r="125" spans="1:13" s="4" customFormat="1" x14ac:dyDescent="0.25">
      <c r="A125" s="18" t="s">
        <v>101</v>
      </c>
      <c r="B125" s="14" t="s">
        <v>157</v>
      </c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</row>
    <row r="126" spans="1:13" s="4" customFormat="1" x14ac:dyDescent="0.25">
      <c r="A126" s="18" t="s">
        <v>92</v>
      </c>
      <c r="B126" s="14" t="s">
        <v>158</v>
      </c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</row>
    <row r="127" spans="1:13" s="4" customFormat="1" x14ac:dyDescent="0.25">
      <c r="A127" s="18" t="s">
        <v>109</v>
      </c>
      <c r="B127" s="14" t="s">
        <v>159</v>
      </c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</row>
    <row r="128" spans="1:13" s="4" customFormat="1" x14ac:dyDescent="0.25">
      <c r="A128" s="18" t="s">
        <v>109</v>
      </c>
      <c r="B128" s="14" t="s">
        <v>160</v>
      </c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</row>
    <row r="129" spans="1:13" s="4" customFormat="1" x14ac:dyDescent="0.25">
      <c r="A129" s="18" t="s">
        <v>161</v>
      </c>
      <c r="B129" s="14" t="s">
        <v>162</v>
      </c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</row>
    <row r="130" spans="1:13" s="4" customFormat="1" x14ac:dyDescent="0.25">
      <c r="A130" s="18" t="s">
        <v>92</v>
      </c>
      <c r="B130" s="14" t="s">
        <v>163</v>
      </c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</row>
    <row r="131" spans="1:13" s="4" customFormat="1" x14ac:dyDescent="0.25">
      <c r="A131" s="18" t="s">
        <v>161</v>
      </c>
      <c r="B131" s="14" t="s">
        <v>164</v>
      </c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</row>
    <row r="132" spans="1:13" s="4" customFormat="1" x14ac:dyDescent="0.25">
      <c r="A132" s="18" t="s">
        <v>109</v>
      </c>
      <c r="B132" s="14" t="s">
        <v>165</v>
      </c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</row>
    <row r="133" spans="1:13" s="4" customFormat="1" x14ac:dyDescent="0.25">
      <c r="A133" s="18" t="s">
        <v>109</v>
      </c>
      <c r="B133" s="14" t="s">
        <v>166</v>
      </c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</row>
    <row r="134" spans="1:13" s="4" customFormat="1" x14ac:dyDescent="0.25">
      <c r="A134" s="18" t="s">
        <v>109</v>
      </c>
      <c r="B134" s="14" t="s">
        <v>167</v>
      </c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</row>
    <row r="135" spans="1:13" s="4" customFormat="1" x14ac:dyDescent="0.25">
      <c r="A135" s="18" t="s">
        <v>161</v>
      </c>
      <c r="B135" s="14" t="s">
        <v>168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</row>
    <row r="136" spans="1:13" s="4" customFormat="1" x14ac:dyDescent="0.25">
      <c r="A136" s="18" t="s">
        <v>161</v>
      </c>
      <c r="B136" s="14" t="s">
        <v>169</v>
      </c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</row>
    <row r="137" spans="1:13" s="4" customFormat="1" x14ac:dyDescent="0.25">
      <c r="A137" s="18" t="s">
        <v>109</v>
      </c>
      <c r="B137" s="14" t="s">
        <v>170</v>
      </c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</row>
    <row r="138" spans="1:13" s="4" customFormat="1" x14ac:dyDescent="0.25">
      <c r="A138" s="18" t="s">
        <v>109</v>
      </c>
      <c r="B138" s="14" t="s">
        <v>171</v>
      </c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</row>
    <row r="139" spans="1:13" s="4" customFormat="1" x14ac:dyDescent="0.25">
      <c r="A139" s="18" t="s">
        <v>161</v>
      </c>
      <c r="B139" s="14" t="s">
        <v>172</v>
      </c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</row>
    <row r="140" spans="1:13" s="4" customFormat="1" x14ac:dyDescent="0.25">
      <c r="A140" s="18" t="s">
        <v>161</v>
      </c>
      <c r="B140" s="14" t="s">
        <v>173</v>
      </c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</row>
    <row r="141" spans="1:13" s="4" customFormat="1" x14ac:dyDescent="0.25">
      <c r="A141" s="18" t="s">
        <v>109</v>
      </c>
      <c r="B141" s="14" t="s">
        <v>174</v>
      </c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</row>
    <row r="142" spans="1:13" s="4" customFormat="1" x14ac:dyDescent="0.25">
      <c r="A142" s="18" t="s">
        <v>161</v>
      </c>
      <c r="B142" s="14" t="s">
        <v>175</v>
      </c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</row>
    <row r="143" spans="1:13" s="4" customFormat="1" x14ac:dyDescent="0.25">
      <c r="A143" s="18" t="s">
        <v>161</v>
      </c>
      <c r="B143" s="14" t="s">
        <v>176</v>
      </c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</row>
    <row r="144" spans="1:13" s="4" customFormat="1" x14ac:dyDescent="0.25">
      <c r="A144" s="18" t="s">
        <v>92</v>
      </c>
      <c r="B144" s="19" t="s">
        <v>177</v>
      </c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</row>
    <row r="145" spans="1:13" s="4" customFormat="1" x14ac:dyDescent="0.25">
      <c r="A145" s="18" t="s">
        <v>178</v>
      </c>
      <c r="B145" s="14" t="s">
        <v>179</v>
      </c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</row>
    <row r="146" spans="1:13" s="4" customFormat="1" x14ac:dyDescent="0.25">
      <c r="A146" s="18" t="s">
        <v>161</v>
      </c>
      <c r="B146" s="14" t="s">
        <v>180</v>
      </c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</row>
    <row r="147" spans="1:13" s="4" customFormat="1" x14ac:dyDescent="0.25">
      <c r="A147" s="18" t="s">
        <v>161</v>
      </c>
      <c r="B147" s="14" t="s">
        <v>181</v>
      </c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</row>
    <row r="148" spans="1:13" s="4" customFormat="1" x14ac:dyDescent="0.25">
      <c r="A148" s="18" t="s">
        <v>178</v>
      </c>
      <c r="B148" s="14" t="s">
        <v>182</v>
      </c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</row>
    <row r="149" spans="1:13" s="4" customFormat="1" x14ac:dyDescent="0.25">
      <c r="A149" s="18" t="s">
        <v>178</v>
      </c>
      <c r="B149" s="14" t="s">
        <v>183</v>
      </c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</row>
    <row r="150" spans="1:13" s="4" customFormat="1" x14ac:dyDescent="0.25">
      <c r="A150" s="18" t="s">
        <v>178</v>
      </c>
      <c r="B150" s="14" t="s">
        <v>184</v>
      </c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</row>
    <row r="151" spans="1:13" s="4" customFormat="1" x14ac:dyDescent="0.25">
      <c r="A151" s="18" t="s">
        <v>178</v>
      </c>
      <c r="B151" s="14" t="s">
        <v>185</v>
      </c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</row>
    <row r="152" spans="1:13" s="4" customFormat="1" x14ac:dyDescent="0.25">
      <c r="A152" s="18" t="s">
        <v>161</v>
      </c>
      <c r="B152" s="14" t="s">
        <v>186</v>
      </c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</row>
    <row r="153" spans="1:13" s="4" customFormat="1" x14ac:dyDescent="0.25">
      <c r="A153" s="18" t="s">
        <v>178</v>
      </c>
      <c r="B153" s="14" t="s">
        <v>187</v>
      </c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</row>
    <row r="154" spans="1:13" s="4" customFormat="1" x14ac:dyDescent="0.25">
      <c r="A154" s="18" t="s">
        <v>178</v>
      </c>
      <c r="B154" s="14" t="s">
        <v>188</v>
      </c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</row>
    <row r="155" spans="1:13" s="4" customFormat="1" x14ac:dyDescent="0.25">
      <c r="A155" s="18" t="s">
        <v>178</v>
      </c>
      <c r="B155" s="14" t="s">
        <v>189</v>
      </c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</row>
    <row r="156" spans="1:13" s="4" customFormat="1" x14ac:dyDescent="0.25">
      <c r="A156" s="18" t="s">
        <v>178</v>
      </c>
      <c r="B156" s="14" t="s">
        <v>190</v>
      </c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</row>
    <row r="157" spans="1:13" s="4" customFormat="1" x14ac:dyDescent="0.25">
      <c r="A157" s="18" t="s">
        <v>178</v>
      </c>
      <c r="B157" s="14" t="s">
        <v>191</v>
      </c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</row>
    <row r="158" spans="1:13" s="4" customFormat="1" x14ac:dyDescent="0.25">
      <c r="A158" s="18" t="s">
        <v>178</v>
      </c>
      <c r="B158" s="14" t="s">
        <v>192</v>
      </c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</row>
    <row r="159" spans="1:13" s="4" customFormat="1" x14ac:dyDescent="0.25">
      <c r="A159" s="18" t="s">
        <v>178</v>
      </c>
      <c r="B159" s="14" t="s">
        <v>193</v>
      </c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</row>
    <row r="160" spans="1:13" s="4" customFormat="1" x14ac:dyDescent="0.25">
      <c r="A160" s="18" t="s">
        <v>178</v>
      </c>
      <c r="B160" s="14" t="s">
        <v>194</v>
      </c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</row>
    <row r="161" spans="1:46" s="4" customFormat="1" x14ac:dyDescent="0.25">
      <c r="A161" s="18" t="s">
        <v>92</v>
      </c>
      <c r="B161" s="14" t="s">
        <v>195</v>
      </c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</row>
    <row r="162" spans="1:46" s="4" customFormat="1" x14ac:dyDescent="0.25">
      <c r="A162" s="18" t="s">
        <v>92</v>
      </c>
      <c r="B162" s="14" t="s">
        <v>196</v>
      </c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</row>
    <row r="163" spans="1:46" s="4" customFormat="1" x14ac:dyDescent="0.25">
      <c r="A163" s="18" t="s">
        <v>92</v>
      </c>
      <c r="B163" s="14" t="s">
        <v>197</v>
      </c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</row>
    <row r="164" spans="1:46" x14ac:dyDescent="0.25">
      <c r="A164" s="18" t="s">
        <v>92</v>
      </c>
      <c r="B164" s="19" t="s">
        <v>198</v>
      </c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</row>
    <row r="165" spans="1:46" x14ac:dyDescent="0.25">
      <c r="A165" s="18" t="s">
        <v>92</v>
      </c>
      <c r="B165" s="19" t="s">
        <v>199</v>
      </c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</row>
    <row r="166" spans="1:46" x14ac:dyDescent="0.25">
      <c r="A166" s="13" t="s">
        <v>161</v>
      </c>
      <c r="B166" s="19" t="s">
        <v>200</v>
      </c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</row>
    <row r="167" spans="1:46" x14ac:dyDescent="0.25">
      <c r="A167" s="18" t="s">
        <v>92</v>
      </c>
      <c r="B167" s="19" t="s">
        <v>201</v>
      </c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</row>
    <row r="168" spans="1:46" x14ac:dyDescent="0.25">
      <c r="A168" s="13" t="s">
        <v>109</v>
      </c>
      <c r="B168" s="19" t="s">
        <v>202</v>
      </c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</row>
    <row r="169" spans="1:46" x14ac:dyDescent="0.25">
      <c r="A169" s="18" t="s">
        <v>161</v>
      </c>
      <c r="B169" s="19" t="s">
        <v>203</v>
      </c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</row>
    <row r="170" spans="1:46" ht="8.25" customHeight="1" x14ac:dyDescent="0.25">
      <c r="A170" s="20"/>
      <c r="B170" s="21"/>
      <c r="C170" s="22"/>
      <c r="D170" s="22"/>
      <c r="E170" s="22"/>
      <c r="F170" s="22"/>
      <c r="G170" s="22"/>
      <c r="H170" s="22"/>
      <c r="I170" s="22"/>
      <c r="J170" s="22"/>
      <c r="K170" s="22"/>
      <c r="M170" s="23"/>
    </row>
    <row r="171" spans="1:46" x14ac:dyDescent="0.25">
      <c r="C171" s="24">
        <f t="shared" ref="C171:I171" si="0">SUM(C5:C170)</f>
        <v>0</v>
      </c>
      <c r="D171" s="24">
        <f t="shared" si="0"/>
        <v>0</v>
      </c>
      <c r="E171" s="24">
        <f t="shared" si="0"/>
        <v>0</v>
      </c>
      <c r="F171" s="24">
        <f t="shared" si="0"/>
        <v>0</v>
      </c>
      <c r="G171" s="24">
        <f t="shared" si="0"/>
        <v>0</v>
      </c>
      <c r="H171" s="24">
        <f t="shared" si="0"/>
        <v>0</v>
      </c>
      <c r="I171" s="24">
        <f t="shared" si="0"/>
        <v>0</v>
      </c>
      <c r="J171" s="24"/>
      <c r="K171" s="24">
        <f>SUM(K5:K170)</f>
        <v>0</v>
      </c>
      <c r="L171" s="24">
        <f>SUM(L5:L170)</f>
        <v>0</v>
      </c>
      <c r="M171" s="24"/>
    </row>
    <row r="172" spans="1:46" s="28" customFormat="1" x14ac:dyDescent="0.25">
      <c r="A172" s="25"/>
      <c r="B172" s="26" t="s">
        <v>204</v>
      </c>
      <c r="C172" s="27">
        <v>10.25</v>
      </c>
      <c r="D172" s="27">
        <v>10.82</v>
      </c>
      <c r="E172" s="27">
        <v>4.54</v>
      </c>
      <c r="F172" s="27">
        <v>4.54</v>
      </c>
      <c r="G172" s="27">
        <v>3.47</v>
      </c>
      <c r="H172" s="27">
        <v>7.95</v>
      </c>
      <c r="I172" s="27">
        <v>3.64</v>
      </c>
      <c r="J172" s="27">
        <v>7.95</v>
      </c>
      <c r="K172" s="27">
        <v>3.41</v>
      </c>
      <c r="L172" s="28">
        <v>3.41</v>
      </c>
      <c r="M172" s="28">
        <v>3.92</v>
      </c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</row>
    <row r="173" spans="1:46" s="35" customFormat="1" x14ac:dyDescent="0.25">
      <c r="A173" s="30"/>
      <c r="B173" s="31" t="s">
        <v>205</v>
      </c>
      <c r="C173" s="32">
        <f>C171*C172*B2</f>
        <v>0</v>
      </c>
      <c r="D173" s="32">
        <f>D171*D172*B2</f>
        <v>0</v>
      </c>
      <c r="E173" s="32">
        <f>E171*E172*B2</f>
        <v>0</v>
      </c>
      <c r="F173" s="32">
        <f>F171*F172*B2</f>
        <v>0</v>
      </c>
      <c r="G173" s="32">
        <f>G171*G172*B2</f>
        <v>0</v>
      </c>
      <c r="H173" s="32">
        <f>H171*H172*B2</f>
        <v>0</v>
      </c>
      <c r="I173" s="32">
        <f>I171*I172*B2</f>
        <v>0</v>
      </c>
      <c r="J173" s="32">
        <f>J171*J172*B2</f>
        <v>0</v>
      </c>
      <c r="K173" s="32">
        <f>K171*K172*B2</f>
        <v>0</v>
      </c>
      <c r="L173" s="32">
        <f>L171*L172*B2</f>
        <v>0</v>
      </c>
      <c r="M173" s="32">
        <f>M171*M172*B2</f>
        <v>0</v>
      </c>
      <c r="N173" s="33"/>
      <c r="O173" s="33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</row>
    <row r="175" spans="1:46" x14ac:dyDescent="0.25">
      <c r="K175" s="36" t="s">
        <v>205</v>
      </c>
      <c r="L175" s="37"/>
      <c r="M175" s="38">
        <f>SUBTOTAL(9,C173:M173)</f>
        <v>0</v>
      </c>
    </row>
    <row r="177" spans="13:13" x14ac:dyDescent="0.25">
      <c r="M177" s="39"/>
    </row>
  </sheetData>
  <autoFilter ref="A3:K169" xr:uid="{00000000-0001-0000-0000-000000000000}">
    <sortState xmlns:xlrd2="http://schemas.microsoft.com/office/spreadsheetml/2017/richdata2" ref="A6:K169">
      <sortCondition ref="B3:B169"/>
    </sortState>
  </autoFilter>
  <mergeCells count="3">
    <mergeCell ref="A3:A4"/>
    <mergeCell ref="B3:B4"/>
    <mergeCell ref="K175:L175"/>
  </mergeCells>
  <pageMargins left="0.51180555555555596" right="0.51180555555555596" top="0.78749999999999998" bottom="0.78749999999999998" header="0.511811023622047" footer="0.511811023622047"/>
  <pageSetup paperSize="9" scale="25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B16DE8A14EE14AB4AE3FEB1C2191B4" ma:contentTypeVersion="14" ma:contentTypeDescription="Create a new document." ma:contentTypeScope="" ma:versionID="f7efcf77226ecf720e041a5475404f5e">
  <xsd:schema xmlns:xsd="http://www.w3.org/2001/XMLSchema" xmlns:xs="http://www.w3.org/2001/XMLSchema" xmlns:p="http://schemas.microsoft.com/office/2006/metadata/properties" xmlns:ns3="73acb238-689d-4f24-a553-a7a4521766b1" xmlns:ns4="c6e77904-8b9a-41a9-b90c-0e986a2d51fc" targetNamespace="http://schemas.microsoft.com/office/2006/metadata/properties" ma:root="true" ma:fieldsID="27d4abb6cc805176dcf3cbd064b5c814" ns3:_="" ns4:_="">
    <xsd:import namespace="73acb238-689d-4f24-a553-a7a4521766b1"/>
    <xsd:import namespace="c6e77904-8b9a-41a9-b90c-0e986a2d51fc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cb238-689d-4f24-a553-a7a4521766b1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e77904-8b9a-41a9-b90c-0e986a2d51f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3acb238-689d-4f24-a553-a7a4521766b1" xsi:nil="true"/>
  </documentManagement>
</p:properties>
</file>

<file path=customXml/itemProps1.xml><?xml version="1.0" encoding="utf-8"?>
<ds:datastoreItem xmlns:ds="http://schemas.openxmlformats.org/officeDocument/2006/customXml" ds:itemID="{287D4160-113A-496F-9446-E87F4BC6F9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acb238-689d-4f24-a553-a7a4521766b1"/>
    <ds:schemaRef ds:uri="c6e77904-8b9a-41a9-b90c-0e986a2d51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D1FCB9-0075-4908-A4A6-6759A64804A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5BE0AE-9945-4F21-B02F-9CC7AE203314}">
  <ds:schemaRefs>
    <ds:schemaRef ds:uri="73acb238-689d-4f24-a553-a7a4521766b1"/>
    <ds:schemaRef ds:uri="http://schemas.microsoft.com/office/2006/metadata/properties"/>
    <ds:schemaRef ds:uri="http://purl.org/dc/dcmitype/"/>
    <ds:schemaRef ds:uri="c6e77904-8b9a-41a9-b90c-0e986a2d51fc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FATURAMENTO SMED (2)</vt:lpstr>
      <vt:lpstr>'FATURAMENTO SMED (2)'!Area_de_impressao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Yago Guedes</dc:creator>
  <cp:lastModifiedBy>Yago Guedes</cp:lastModifiedBy>
  <dcterms:created xsi:type="dcterms:W3CDTF">2026-07-14T22:19:33Z</dcterms:created>
  <dcterms:modified xsi:type="dcterms:W3CDTF">2026-07-14T22:20:43Z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0x010100CEB16DE8A14EE14AB4AE3FEB1C2191B4</vt:lpwstr>
  </property>
</Properties>
</file>